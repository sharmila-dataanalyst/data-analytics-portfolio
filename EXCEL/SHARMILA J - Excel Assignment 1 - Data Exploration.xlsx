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BARAJ\Desktop\"/>
    </mc:Choice>
  </mc:AlternateContent>
  <bookViews>
    <workbookView xWindow="0" yWindow="0" windowWidth="20490" windowHeight="7635" activeTab="2"/>
  </bookViews>
  <sheets>
    <sheet name="Instructions" sheetId="1" r:id="rId1"/>
    <sheet name="Dataset" sheetId="2" r:id="rId2"/>
    <sheet name="Answer Sheet" sheetId="3" r:id="rId3"/>
  </sheets>
  <calcPr calcId="152511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N15" i="3"/>
  <c r="N14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  <c r="N13" i="3" l="1"/>
  <c r="N12" i="3"/>
  <c r="N11" i="3"/>
  <c r="N10" i="3"/>
  <c r="N9" i="3"/>
</calcChain>
</file>

<file path=xl/sharedStrings.xml><?xml version="1.0" encoding="utf-8"?>
<sst xmlns="http://schemas.openxmlformats.org/spreadsheetml/2006/main" count="313" uniqueCount="122">
  <si>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</si>
  <si>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</si>
  <si>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</si>
  <si>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</si>
  <si>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</si>
  <si>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</si>
  <si>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</si>
  <si>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</si>
  <si>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</si>
  <si>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</si>
  <si>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</si>
  <si>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</si>
  <si>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</si>
  <si>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</si>
  <si>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</si>
  <si>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</si>
  <si>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</si>
  <si>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</si>
  <si>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</si>
  <si>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</si>
  <si>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</si>
  <si>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</si>
  <si>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</si>
  <si>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</si>
  <si>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</si>
  <si>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</si>
  <si>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</si>
  <si>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</si>
  <si>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</si>
  <si>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</si>
  <si>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</si>
  <si>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</si>
  <si>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</si>
  <si>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</si>
  <si>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</si>
  <si>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</si>
  <si>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</si>
  <si>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</si>
  <si>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</si>
  <si>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</si>
  <si>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</si>
  <si>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</si>
  <si>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</si>
  <si>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</si>
  <si>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</si>
  <si>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</si>
  <si>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</si>
  <si>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</si>
  <si>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</si>
  <si>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</si>
  <si>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</si>
  <si>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</si>
  <si>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</si>
  <si>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</si>
  <si>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</si>
  <si>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</si>
  <si>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</si>
  <si>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</si>
  <si>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</si>
  <si>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</si>
  <si>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</si>
  <si>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</si>
  <si>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</si>
  <si>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</si>
  <si>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</si>
  <si>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</si>
  <si>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</si>
  <si>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</si>
  <si>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</si>
  <si>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</si>
  <si>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</si>
  <si>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</si>
  <si>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</si>
  <si>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</si>
  <si>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</si>
  <si>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</si>
  <si>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</si>
  <si>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</si>
  <si>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</si>
  <si>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</si>
  <si>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</si>
  <si>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</si>
  <si>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</si>
  <si>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</si>
  <si>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</si>
  <si>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</si>
  <si>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</si>
  <si>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</si>
  <si>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</si>
  <si>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</si>
  <si>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</si>
  <si>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</si>
  <si>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</si>
  <si>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</si>
  <si>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</si>
  <si>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</si>
  <si>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</si>
  <si>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</si>
  <si>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</si>
  <si>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</si>
  <si>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</si>
  <si>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</si>
  <si>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</si>
  <si>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</si>
  <si>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</si>
  <si>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</si>
  <si>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</si>
  <si>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</si>
  <si>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</si>
  <si>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</si>
  <si>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TOTAL PRICE OF ALL PRODUCTS </t>
  </si>
  <si>
    <t xml:space="preserve">NO OF PRODUCTS </t>
  </si>
  <si>
    <t>AVERAGE PRICE OF THE PRODUCTS</t>
  </si>
  <si>
    <t xml:space="preserve">MIN PRICE OF AMONG ALL PRODUCTS </t>
  </si>
  <si>
    <t>MAX PRICE FROM THE PRODUCTS</t>
  </si>
  <si>
    <t>Price Range</t>
  </si>
  <si>
    <t>TOTAL PRICE OF ELECTRONIC PROPDUCTS</t>
  </si>
  <si>
    <t>COUNT OF PRODUCTS WITH THR PRICE LESS THAN $100</t>
  </si>
  <si>
    <t>Country Code</t>
  </si>
  <si>
    <t>Month</t>
  </si>
  <si>
    <t>Day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</si>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</sst>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7" fillId="0" borderId="0" xfId="0" applyFont="1" applyAlignment="1"/>
    <xf numFmtId="0" fontId="8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topLeftCell="A7" workbookViewId="0">
      <selection activeCell="C17" sqref="C17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>
      <selection activeCell="F11" sqref="F11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11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11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8"/>
    </row>
    <row r="3" spans="1:11" ht="15.75" customHeight="1" x14ac:dyDescent="0.2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/>
    </row>
    <row r="4" spans="1:11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8"/>
    </row>
    <row r="5" spans="1:11" ht="15.75" customHeight="1" x14ac:dyDescent="0.2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/>
    </row>
    <row r="6" spans="1:11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8"/>
    </row>
    <row r="7" spans="1:11" ht="15.75" customHeight="1" x14ac:dyDescent="0.2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/>
    </row>
    <row r="8" spans="1:11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8"/>
      <c r="I8" s="14"/>
      <c r="J8" s="14"/>
      <c r="K8" s="14"/>
    </row>
    <row r="9" spans="1:11" ht="15.75" customHeight="1" x14ac:dyDescent="0.2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/>
    </row>
    <row r="10" spans="1:11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8"/>
    </row>
    <row r="11" spans="1:11" ht="15.75" customHeight="1" x14ac:dyDescent="0.2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/>
    </row>
    <row r="12" spans="1:11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8"/>
    </row>
    <row r="13" spans="1:11" ht="15.75" customHeight="1" x14ac:dyDescent="0.2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/>
    </row>
    <row r="14" spans="1:11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8"/>
    </row>
    <row r="15" spans="1:11" ht="15.75" customHeight="1" x14ac:dyDescent="0.2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/>
    </row>
    <row r="16" spans="1:11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8"/>
    </row>
    <row r="17" spans="1:7" ht="15.75" customHeight="1" x14ac:dyDescent="0.2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8"/>
    </row>
    <row r="19" spans="1:7" ht="15.75" customHeight="1" x14ac:dyDescent="0.2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8"/>
    </row>
    <row r="21" spans="1:7" ht="15.75" customHeight="1" x14ac:dyDescent="0.2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8"/>
    </row>
    <row r="23" spans="1:7" ht="15.75" customHeight="1" x14ac:dyDescent="0.2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8"/>
    </row>
    <row r="25" spans="1:7" ht="15.75" customHeight="1" x14ac:dyDescent="0.2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10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8"/>
    </row>
    <row r="27" spans="1:7" ht="15.75" customHeight="1" x14ac:dyDescent="0.2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8"/>
    </row>
    <row r="29" spans="1:7" ht="15.75" customHeight="1" x14ac:dyDescent="0.2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10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8"/>
    </row>
    <row r="31" spans="1:7" ht="15.75" customHeight="1" x14ac:dyDescent="0.2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8"/>
    </row>
    <row r="33" spans="1:7" ht="15.75" customHeight="1" x14ac:dyDescent="0.2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8"/>
    </row>
    <row r="35" spans="1:7" ht="15.75" customHeight="1" x14ac:dyDescent="0.2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I8:K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topLeftCell="B1" zoomScale="96" zoomScaleNormal="96" workbookViewId="0">
      <selection activeCell="N18" sqref="N18"/>
    </sheetView>
  </sheetViews>
  <sheetFormatPr defaultRowHeight="12.75" x14ac:dyDescent="0.2"/>
  <cols>
    <col min="1" max="1" width="12.140625" customWidth="1"/>
    <col min="2" max="2" width="14.5703125" bestFit="1" customWidth="1"/>
    <col min="3" max="3" width="12.85546875" bestFit="1" customWidth="1"/>
    <col min="4" max="4" width="8.7109375" bestFit="1" customWidth="1"/>
    <col min="5" max="5" width="8.85546875" bestFit="1" customWidth="1"/>
    <col min="6" max="6" width="11.7109375" bestFit="1" customWidth="1"/>
    <col min="7" max="7" width="16.7109375" bestFit="1" customWidth="1"/>
    <col min="8" max="8" width="9.140625" style="13"/>
    <col min="9" max="9" width="14" bestFit="1" customWidth="1"/>
    <col min="13" max="13" width="55.7109375" bestFit="1" customWidth="1"/>
  </cols>
  <sheetData>
    <row r="1" spans="1:14" ht="18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115</v>
      </c>
      <c r="H1" s="5" t="s">
        <v>120</v>
      </c>
      <c r="I1" s="5" t="s">
        <v>118</v>
      </c>
      <c r="J1" s="5" t="s">
        <v>119</v>
      </c>
    </row>
    <row r="2" spans="1:14" x14ac:dyDescent="0.2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  <c r="G2" t="str">
        <f>IF(D2&gt;=500,"High Price","Standard Price")</f>
        <v>High Price</v>
      </c>
      <c r="H2" s="13" t="str">
        <f>LEFT(A2,2)</f>
        <v>28</v>
      </c>
      <c r="I2" t="str">
        <f>RIGHT(A2,2)</f>
        <v>US</v>
      </c>
      <c r="J2" t="str">
        <f>MID(A2,4,3)</f>
        <v>JAN</v>
      </c>
    </row>
    <row r="3" spans="1:14" x14ac:dyDescent="0.2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t="str">
        <f t="shared" ref="G3:G35" si="0">IF(D3&gt;=500,"High Price","Standard Price")</f>
        <v>Standard Price</v>
      </c>
      <c r="H3" s="1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4" x14ac:dyDescent="0.2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  <c r="G4" t="str">
        <f t="shared" si="0"/>
        <v>Standard Price</v>
      </c>
      <c r="H4" s="13" t="str">
        <f t="shared" si="1"/>
        <v>03</v>
      </c>
      <c r="I4" t="str">
        <f t="shared" si="2"/>
        <v>US</v>
      </c>
      <c r="J4" t="str">
        <f t="shared" si="3"/>
        <v>MAR</v>
      </c>
    </row>
    <row r="5" spans="1:14" x14ac:dyDescent="0.2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t="str">
        <f t="shared" si="0"/>
        <v>High Price</v>
      </c>
      <c r="H5" s="13" t="str">
        <f t="shared" si="1"/>
        <v>11</v>
      </c>
      <c r="I5" t="str">
        <f t="shared" si="2"/>
        <v>US</v>
      </c>
      <c r="J5" t="str">
        <f t="shared" si="3"/>
        <v>APR</v>
      </c>
    </row>
    <row r="6" spans="1:14" x14ac:dyDescent="0.2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  <c r="G6" t="str">
        <f t="shared" si="0"/>
        <v>Standard Price</v>
      </c>
      <c r="H6" s="13" t="str">
        <f t="shared" si="1"/>
        <v>22</v>
      </c>
      <c r="I6" t="str">
        <f t="shared" si="2"/>
        <v>US</v>
      </c>
      <c r="J6" t="str">
        <f t="shared" si="3"/>
        <v>MAY</v>
      </c>
    </row>
    <row r="7" spans="1:14" ht="15.75" x14ac:dyDescent="0.25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t="str">
        <f t="shared" si="0"/>
        <v>Standard Price</v>
      </c>
      <c r="H7" s="13" t="str">
        <f t="shared" si="1"/>
        <v>07</v>
      </c>
      <c r="I7" t="str">
        <f t="shared" si="2"/>
        <v>UK</v>
      </c>
      <c r="J7" t="str">
        <f t="shared" si="3"/>
        <v>JUN</v>
      </c>
      <c r="M7" s="15" t="s">
        <v>121</v>
      </c>
    </row>
    <row r="8" spans="1:14" x14ac:dyDescent="0.2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  <c r="G8" t="str">
        <f t="shared" si="0"/>
        <v>Standard Price</v>
      </c>
      <c r="H8" s="13" t="str">
        <f t="shared" si="1"/>
        <v>19</v>
      </c>
      <c r="I8" t="str">
        <f t="shared" si="2"/>
        <v>UK</v>
      </c>
      <c r="J8" t="str">
        <f t="shared" si="3"/>
        <v>JUL</v>
      </c>
      <c r="M8" s="11"/>
    </row>
    <row r="9" spans="1:14" x14ac:dyDescent="0.2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t="str">
        <f t="shared" si="0"/>
        <v>Standard Price</v>
      </c>
      <c r="H9" s="13" t="str">
        <f t="shared" si="1"/>
        <v>23</v>
      </c>
      <c r="I9" t="str">
        <f t="shared" si="2"/>
        <v>UK</v>
      </c>
      <c r="J9" t="str">
        <f t="shared" si="3"/>
        <v>AUG</v>
      </c>
      <c r="M9" s="12" t="s">
        <v>110</v>
      </c>
      <c r="N9">
        <f>SUM(D2:D35)</f>
        <v>10100</v>
      </c>
    </row>
    <row r="10" spans="1:14" x14ac:dyDescent="0.2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  <c r="G10" t="str">
        <f t="shared" si="0"/>
        <v>High Price</v>
      </c>
      <c r="H10" s="13" t="str">
        <f t="shared" si="1"/>
        <v>05</v>
      </c>
      <c r="I10" t="str">
        <f t="shared" si="2"/>
        <v>UK</v>
      </c>
      <c r="J10" t="str">
        <f t="shared" si="3"/>
        <v>SEP</v>
      </c>
      <c r="M10" s="12" t="s">
        <v>111</v>
      </c>
      <c r="N10">
        <f>COUNT(D2:D35)</f>
        <v>34</v>
      </c>
    </row>
    <row r="11" spans="1:14" x14ac:dyDescent="0.2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t="str">
        <f t="shared" si="0"/>
        <v>Standard Price</v>
      </c>
      <c r="H11" s="13" t="str">
        <f t="shared" si="1"/>
        <v>14</v>
      </c>
      <c r="I11" t="str">
        <f t="shared" si="2"/>
        <v>UK</v>
      </c>
      <c r="J11" t="str">
        <f t="shared" si="3"/>
        <v>OCT</v>
      </c>
      <c r="M11" s="12" t="s">
        <v>112</v>
      </c>
      <c r="N11">
        <f>AVERAGE(D2:D35)</f>
        <v>297.05882352941177</v>
      </c>
    </row>
    <row r="12" spans="1:14" x14ac:dyDescent="0.2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  <c r="G12" t="str">
        <f t="shared" si="0"/>
        <v>High Price</v>
      </c>
      <c r="H12" s="13" t="str">
        <f t="shared" si="1"/>
        <v>17</v>
      </c>
      <c r="I12" t="str">
        <f t="shared" si="2"/>
        <v>IN</v>
      </c>
      <c r="J12" t="str">
        <f t="shared" si="3"/>
        <v>JUN</v>
      </c>
      <c r="M12" s="12" t="s">
        <v>113</v>
      </c>
      <c r="N12">
        <f>MIN(D2:D35)</f>
        <v>30</v>
      </c>
    </row>
    <row r="13" spans="1:14" x14ac:dyDescent="0.2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t="str">
        <f t="shared" si="0"/>
        <v>Standard Price</v>
      </c>
      <c r="H13" s="13" t="str">
        <f t="shared" si="1"/>
        <v>25</v>
      </c>
      <c r="I13" t="str">
        <f t="shared" si="2"/>
        <v>AU</v>
      </c>
      <c r="J13" t="str">
        <f t="shared" si="3"/>
        <v>NOV</v>
      </c>
      <c r="M13" s="12" t="s">
        <v>114</v>
      </c>
      <c r="N13">
        <f>MAX(D2:D35)</f>
        <v>1000</v>
      </c>
    </row>
    <row r="14" spans="1:14" x14ac:dyDescent="0.2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  <c r="G14" t="str">
        <f t="shared" si="0"/>
        <v>Standard Price</v>
      </c>
      <c r="H14" s="13" t="str">
        <f t="shared" si="1"/>
        <v>08</v>
      </c>
      <c r="I14" t="str">
        <f t="shared" si="2"/>
        <v>DE</v>
      </c>
      <c r="J14" t="str">
        <f t="shared" si="3"/>
        <v>DEC</v>
      </c>
      <c r="M14" s="12" t="s">
        <v>116</v>
      </c>
      <c r="N14">
        <f>SUMIF(F2:F35,"ELECTRONICS",D2:D35)</f>
        <v>8050</v>
      </c>
    </row>
    <row r="15" spans="1:14" x14ac:dyDescent="0.2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t="str">
        <f t="shared" si="0"/>
        <v>Standard Price</v>
      </c>
      <c r="H15" s="13" t="str">
        <f t="shared" si="1"/>
        <v>18</v>
      </c>
      <c r="I15" t="str">
        <f t="shared" si="2"/>
        <v>CA</v>
      </c>
      <c r="J15" t="str">
        <f t="shared" si="3"/>
        <v>FEB</v>
      </c>
      <c r="M15" t="s">
        <v>117</v>
      </c>
      <c r="N15">
        <f>COUNTIF(D2:D35,"&lt;100")</f>
        <v>11</v>
      </c>
    </row>
    <row r="16" spans="1:14" x14ac:dyDescent="0.2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  <c r="G16" t="str">
        <f t="shared" si="0"/>
        <v>Standard Price</v>
      </c>
      <c r="H16" s="13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x14ac:dyDescent="0.2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t="str">
        <f t="shared" si="0"/>
        <v>Standard Price</v>
      </c>
      <c r="H17" s="13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x14ac:dyDescent="0.2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  <c r="G18" t="str">
        <f t="shared" si="0"/>
        <v>Standard Price</v>
      </c>
      <c r="H18" s="13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x14ac:dyDescent="0.2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t="str">
        <f t="shared" si="0"/>
        <v>High Price</v>
      </c>
      <c r="H19" s="13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x14ac:dyDescent="0.2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  <c r="G20" t="str">
        <f t="shared" si="0"/>
        <v>Standard Price</v>
      </c>
      <c r="H20" s="13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x14ac:dyDescent="0.2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t="str">
        <f t="shared" si="0"/>
        <v>Standard Price</v>
      </c>
      <c r="H21" s="13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x14ac:dyDescent="0.2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  <c r="G22" t="str">
        <f t="shared" si="0"/>
        <v>High Price</v>
      </c>
      <c r="H22" s="13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x14ac:dyDescent="0.2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t="str">
        <f t="shared" si="0"/>
        <v>Standard Price</v>
      </c>
      <c r="H23" s="1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x14ac:dyDescent="0.2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  <c r="G24" t="str">
        <f t="shared" si="0"/>
        <v>Standard Price</v>
      </c>
      <c r="H24" s="13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x14ac:dyDescent="0.2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t="str">
        <f t="shared" si="0"/>
        <v>Standard Price</v>
      </c>
      <c r="H25" s="13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x14ac:dyDescent="0.2">
      <c r="A26" s="8" t="s">
        <v>90</v>
      </c>
      <c r="B26" s="8" t="s">
        <v>36</v>
      </c>
      <c r="C26" s="8" t="s">
        <v>91</v>
      </c>
      <c r="D26" s="8">
        <v>800</v>
      </c>
      <c r="E26" s="8">
        <v>45</v>
      </c>
      <c r="F26" s="8" t="s">
        <v>26</v>
      </c>
      <c r="G26" t="str">
        <f t="shared" si="0"/>
        <v>High Price</v>
      </c>
      <c r="H26" s="13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x14ac:dyDescent="0.2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t="str">
        <f t="shared" si="0"/>
        <v>Standard Price</v>
      </c>
      <c r="H27" s="13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x14ac:dyDescent="0.2">
      <c r="A28" s="8" t="s">
        <v>94</v>
      </c>
      <c r="B28" s="8" t="s">
        <v>49</v>
      </c>
      <c r="C28" s="8" t="s">
        <v>95</v>
      </c>
      <c r="D28" s="8">
        <v>400</v>
      </c>
      <c r="E28" s="8">
        <v>40</v>
      </c>
      <c r="F28" s="8" t="s">
        <v>34</v>
      </c>
      <c r="G28" t="str">
        <f t="shared" si="0"/>
        <v>Standard Price</v>
      </c>
      <c r="H28" s="13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x14ac:dyDescent="0.2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t="str">
        <f t="shared" si="0"/>
        <v>Standard Price</v>
      </c>
      <c r="H29" s="13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x14ac:dyDescent="0.2">
      <c r="A30" s="8" t="s">
        <v>96</v>
      </c>
      <c r="B30" s="8" t="s">
        <v>97</v>
      </c>
      <c r="C30" s="8" t="s">
        <v>98</v>
      </c>
      <c r="D30" s="8">
        <v>60</v>
      </c>
      <c r="E30" s="8">
        <v>30</v>
      </c>
      <c r="F30" s="8" t="s">
        <v>30</v>
      </c>
      <c r="G30" t="str">
        <f t="shared" si="0"/>
        <v>Standard Price</v>
      </c>
      <c r="H30" s="13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x14ac:dyDescent="0.2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t="str">
        <f t="shared" si="0"/>
        <v>Standard Price</v>
      </c>
      <c r="H31" s="13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x14ac:dyDescent="0.2">
      <c r="A32" s="8" t="s">
        <v>102</v>
      </c>
      <c r="B32" s="8" t="s">
        <v>88</v>
      </c>
      <c r="C32" s="8" t="s">
        <v>103</v>
      </c>
      <c r="D32" s="8">
        <v>130</v>
      </c>
      <c r="E32" s="8">
        <v>5</v>
      </c>
      <c r="F32" s="8" t="s">
        <v>26</v>
      </c>
      <c r="G32" t="str">
        <f t="shared" si="0"/>
        <v>Standard Price</v>
      </c>
      <c r="H32" s="13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x14ac:dyDescent="0.2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t="str">
        <f t="shared" si="0"/>
        <v>Standard Price</v>
      </c>
      <c r="H33" s="1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x14ac:dyDescent="0.2">
      <c r="A34" s="8" t="s">
        <v>57</v>
      </c>
      <c r="B34" s="8" t="s">
        <v>24</v>
      </c>
      <c r="C34" s="8" t="s">
        <v>58</v>
      </c>
      <c r="D34" s="8">
        <v>950</v>
      </c>
      <c r="E34" s="8">
        <v>25</v>
      </c>
      <c r="F34" s="8" t="s">
        <v>26</v>
      </c>
      <c r="G34" t="str">
        <f t="shared" si="0"/>
        <v>High Price</v>
      </c>
      <c r="H34" s="13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x14ac:dyDescent="0.2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t="str">
        <f t="shared" si="0"/>
        <v>Standard Price</v>
      </c>
      <c r="H35" s="13" t="str">
        <f t="shared" si="1"/>
        <v>09</v>
      </c>
      <c r="I35" t="str">
        <f t="shared" si="2"/>
        <v>FR</v>
      </c>
      <c r="J35" t="str">
        <f t="shared" si="3"/>
        <v>JUL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 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SUBARAJ</dc:creator>
  <cp:lastModifiedBy>SUBARAJ</cp:lastModifiedBy>
  <dcterms:created xsi:type="dcterms:W3CDTF">2026-08-24T08:09:46Z</dcterms:created>
  <dcterms:modified xsi:type="dcterms:W3CDTF">2026-08-25T13:45:51Z</dcterms:modified>
</cp:coreProperties>
</file>